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_progress_app\"/>
    </mc:Choice>
  </mc:AlternateContent>
  <xr:revisionPtr revIDLastSave="0" documentId="13_ncr:1_{35495FE0-2769-4B88-B5F4-B65D1BC4B4C3}" xr6:coauthVersionLast="47" xr6:coauthVersionMax="47" xr10:uidLastSave="{00000000-0000-0000-0000-000000000000}"/>
  <bookViews>
    <workbookView xWindow="2160" yWindow="2160" windowWidth="21600" windowHeight="11295" xr2:uid="{00000000-000D-0000-FFFF-FFFF00000000}"/>
  </bookViews>
  <sheets>
    <sheet name="Thesis Progress Review" sheetId="1" r:id="rId1"/>
  </sheets>
  <calcPr calcId="181029"/>
</workbook>
</file>

<file path=xl/calcChain.xml><?xml version="1.0" encoding="utf-8"?>
<calcChain xmlns="http://schemas.openxmlformats.org/spreadsheetml/2006/main">
  <c r="E24" i="1" l="1"/>
  <c r="E25" i="1"/>
  <c r="E26" i="1"/>
  <c r="C32" i="1"/>
  <c r="E29" i="1"/>
  <c r="E23" i="1"/>
  <c r="E20" i="1"/>
  <c r="E19" i="1"/>
  <c r="E18" i="1"/>
  <c r="E17" i="1"/>
  <c r="D30" i="1"/>
  <c r="E30" i="1" s="1"/>
  <c r="D27" i="1"/>
  <c r="E27" i="1" s="1"/>
  <c r="D21" i="1"/>
  <c r="E21" i="1" s="1"/>
  <c r="E14" i="1"/>
  <c r="E13" i="1"/>
  <c r="E12" i="1"/>
  <c r="E11" i="1"/>
  <c r="D15" i="1"/>
  <c r="E15" i="1" s="1"/>
  <c r="D8" i="1"/>
  <c r="E8" i="1" s="1"/>
  <c r="E6" i="1"/>
  <c r="E7" i="1"/>
  <c r="E5" i="1"/>
  <c r="G2" i="1"/>
  <c r="D32" i="1" l="1"/>
  <c r="E32" i="1"/>
</calcChain>
</file>

<file path=xl/sharedStrings.xml><?xml version="1.0" encoding="utf-8"?>
<sst xmlns="http://schemas.openxmlformats.org/spreadsheetml/2006/main" count="69" uniqueCount="63">
  <si>
    <t>Thesis Progress Review – Suggested Weightage</t>
  </si>
  <si>
    <t>Date:</t>
  </si>
  <si>
    <t>S.No</t>
  </si>
  <si>
    <t>Step</t>
  </si>
  <si>
    <t>Rationale</t>
  </si>
  <si>
    <t>1a</t>
  </si>
  <si>
    <t>Course Work</t>
  </si>
  <si>
    <t>1b</t>
  </si>
  <si>
    <t>Comprehensive Exam</t>
  </si>
  <si>
    <t>1c</t>
  </si>
  <si>
    <t>Synopsis Approval</t>
  </si>
  <si>
    <t>Subtotal</t>
  </si>
  <si>
    <t>2a</t>
  </si>
  <si>
    <t>Literature Review</t>
  </si>
  <si>
    <t>Backbone of all articles</t>
  </si>
  <si>
    <t>2b</t>
  </si>
  <si>
    <t>Data Gathering</t>
  </si>
  <si>
    <t>Data quality defines results</t>
  </si>
  <si>
    <t>2e</t>
  </si>
  <si>
    <t>Data Exploration</t>
  </si>
  <si>
    <t>Insight generation &amp; understanding patterns</t>
  </si>
  <si>
    <t>2f</t>
  </si>
  <si>
    <t>Data Cleaning</t>
  </si>
  <si>
    <t>2h</t>
  </si>
  <si>
    <t>Feature Engineering</t>
  </si>
  <si>
    <t>2i</t>
  </si>
  <si>
    <t>Model Development</t>
  </si>
  <si>
    <t>2j</t>
  </si>
  <si>
    <t>Model Evaluation</t>
  </si>
  <si>
    <t>2l</t>
  </si>
  <si>
    <t>Optimization</t>
  </si>
  <si>
    <t>2c</t>
  </si>
  <si>
    <t>Article Publishing – I</t>
  </si>
  <si>
    <t>Literature/Data paper</t>
  </si>
  <si>
    <t>2g</t>
  </si>
  <si>
    <t>Article Publishing – II</t>
  </si>
  <si>
    <t>Model development paper</t>
  </si>
  <si>
    <t>2k</t>
  </si>
  <si>
    <t>Article Publishing – III</t>
  </si>
  <si>
    <t>Evaluation &amp; comparison paper</t>
  </si>
  <si>
    <t>2n</t>
  </si>
  <si>
    <t>Article Publishing – IV</t>
  </si>
  <si>
    <t>Optimization / final contribution</t>
  </si>
  <si>
    <t>2m</t>
  </si>
  <si>
    <t>Final Thesis Compilation &amp; Defense Preparation</t>
  </si>
  <si>
    <t>GRAND TOTAL</t>
  </si>
  <si>
    <t>Total Thesis Work</t>
  </si>
  <si>
    <t>Complete PhD lifecycle</t>
  </si>
  <si>
    <t>Actual Progress (%)</t>
  </si>
  <si>
    <t>Supervisor Comments</t>
  </si>
  <si>
    <t>Weighted Progress (%)</t>
  </si>
  <si>
    <t xml:space="preserve"> Prerequisites – 15%</t>
  </si>
  <si>
    <t>Research Work – 85%</t>
  </si>
  <si>
    <t>Foundation &amp; Data – 30%</t>
  </si>
  <si>
    <t>A</t>
  </si>
  <si>
    <t>Core Modeling &amp; Analysis – 30%</t>
  </si>
  <si>
    <t>B.</t>
  </si>
  <si>
    <t>Publications (High-Impact Focus) – 20%</t>
  </si>
  <si>
    <t>C.</t>
  </si>
  <si>
    <t>D.</t>
  </si>
  <si>
    <t>Finalization – 5%</t>
  </si>
  <si>
    <t>E</t>
  </si>
  <si>
    <t>Weightage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</si>
</sst>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1" fontId="0" fillId="0" borderId="1" xfId="1" applyNumberFormat="1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D14" sqref="D14"/>
    </sheetView>
  </sheetViews>
  <sheetFormatPr defaultRowHeight="15" x14ac:dyDescent="0.25"/>
  <cols>
    <col min="1" max="1" width="5" customWidth="1"/>
    <col min="2" max="2" width="26.5703125" customWidth="1"/>
    <col min="3" max="3" width="14.28515625" customWidth="1"/>
    <col min="4" max="4" width="14.7109375" bestFit="1" customWidth="1"/>
    <col min="5" max="5" width="12" bestFit="1" customWidth="1"/>
    <col min="6" max="6" width="10.5703125" bestFit="1" customWidth="1"/>
    <col min="7" max="7" width="41.140625" bestFit="1" customWidth="1"/>
  </cols>
  <sheetData>
    <row r="1" spans="1:7" ht="18.75" x14ac:dyDescent="0.3">
      <c r="A1" s="11" t="s">
        <v>0</v>
      </c>
      <c r="B1" s="12"/>
      <c r="C1" s="12"/>
      <c r="D1" s="12"/>
      <c r="E1" s="12"/>
      <c r="F1" s="12"/>
      <c r="G1" s="12"/>
    </row>
    <row r="2" spans="1:7" x14ac:dyDescent="0.25">
      <c r="A2" s="1"/>
      <c r="B2" s="1"/>
      <c r="C2" s="1"/>
      <c r="D2" s="1"/>
      <c r="F2" s="8" t="s">
        <v>1</v>
      </c>
      <c r="G2" s="7">
        <f ca="1">TODAY()</f>
        <v>46018</v>
      </c>
    </row>
    <row r="3" spans="1:7" ht="37.5" customHeight="1" x14ac:dyDescent="0.25">
      <c r="A3" s="10" t="s">
        <v>2</v>
      </c>
      <c r="B3" s="10" t="s">
        <v>3</v>
      </c>
      <c r="C3" s="9" t="s">
        <v>62</v>
      </c>
      <c r="D3" s="9" t="s">
        <v>48</v>
      </c>
      <c r="E3" s="9" t="s">
        <v>50</v>
      </c>
      <c r="F3" s="9" t="s">
        <v>49</v>
      </c>
      <c r="G3" s="10" t="s">
        <v>4</v>
      </c>
    </row>
    <row r="4" spans="1:7" x14ac:dyDescent="0.25">
      <c r="A4" s="4">
        <v>1</v>
      </c>
      <c r="B4" s="2" t="s">
        <v>51</v>
      </c>
      <c r="C4" s="2"/>
      <c r="D4" s="2"/>
      <c r="E4" s="2"/>
      <c r="F4" s="2"/>
      <c r="G4" s="1"/>
    </row>
    <row r="5" spans="1:7" x14ac:dyDescent="0.25">
      <c r="A5" s="6" t="s">
        <v>5</v>
      </c>
      <c r="B5" s="1" t="s">
        <v>6</v>
      </c>
      <c r="C5" s="3">
        <v>5</v>
      </c>
      <c r="D5" s="1">
        <v>100</v>
      </c>
      <c r="E5" s="1">
        <f>C5*D5/100</f>
        <v>5</v>
      </c>
      <c r="F5" s="1"/>
      <c r="G5" s="1"/>
    </row>
    <row r="6" spans="1:7" x14ac:dyDescent="0.25">
      <c r="A6" s="6" t="s">
        <v>7</v>
      </c>
      <c r="B6" s="1" t="s">
        <v>8</v>
      </c>
      <c r="C6" s="3">
        <v>5</v>
      </c>
      <c r="D6" s="1">
        <v>100</v>
      </c>
      <c r="E6" s="1">
        <f t="shared" ref="E6:E8" si="0">C6*D6/100</f>
        <v>5</v>
      </c>
      <c r="F6" s="1"/>
      <c r="G6" s="1"/>
    </row>
    <row r="7" spans="1:7" x14ac:dyDescent="0.25">
      <c r="A7" s="6" t="s">
        <v>9</v>
      </c>
      <c r="B7" s="1" t="s">
        <v>10</v>
      </c>
      <c r="C7" s="3">
        <v>5</v>
      </c>
      <c r="D7" s="1">
        <v>100</v>
      </c>
      <c r="E7" s="1">
        <f t="shared" si="0"/>
        <v>5</v>
      </c>
      <c r="F7" s="2"/>
    </row>
    <row r="8" spans="1:7" x14ac:dyDescent="0.25">
      <c r="A8" s="1"/>
      <c r="B8" s="1" t="s">
        <v>11</v>
      </c>
      <c r="C8" s="1">
        <v>15</v>
      </c>
      <c r="D8" s="1">
        <f>((C5*D5)+(C6*D6)+(C7*D7))/C8</f>
        <v>100</v>
      </c>
      <c r="E8" s="1">
        <f t="shared" si="0"/>
        <v>15</v>
      </c>
      <c r="F8" s="1"/>
      <c r="G8" s="1"/>
    </row>
    <row r="9" spans="1:7" x14ac:dyDescent="0.25">
      <c r="A9" s="4">
        <v>2</v>
      </c>
      <c r="B9" s="2" t="s">
        <v>52</v>
      </c>
      <c r="C9" s="1"/>
      <c r="D9" s="1"/>
      <c r="E9" s="1"/>
      <c r="F9" s="1"/>
      <c r="G9" s="1"/>
    </row>
    <row r="10" spans="1:7" x14ac:dyDescent="0.25">
      <c r="A10" s="5" t="s">
        <v>54</v>
      </c>
      <c r="B10" s="1" t="s">
        <v>53</v>
      </c>
      <c r="C10" s="1"/>
      <c r="D10" s="1"/>
      <c r="E10" s="1"/>
      <c r="F10" s="1"/>
      <c r="G10" s="1"/>
    </row>
    <row r="11" spans="1:7" x14ac:dyDescent="0.25">
      <c r="A11" s="6" t="s">
        <v>12</v>
      </c>
      <c r="B11" s="1" t="s">
        <v>13</v>
      </c>
      <c r="C11" s="1">
        <v>10</v>
      </c>
      <c r="D11" s="1">
        <v>100</v>
      </c>
      <c r="E11" s="1">
        <f>C11*D11/100</f>
        <v>10</v>
      </c>
      <c r="F11" s="1"/>
      <c r="G11" s="1"/>
    </row>
    <row r="12" spans="1:7" x14ac:dyDescent="0.25">
      <c r="A12" s="6" t="s">
        <v>15</v>
      </c>
      <c r="B12" s="1" t="s">
        <v>16</v>
      </c>
      <c r="C12" s="1">
        <v>8</v>
      </c>
      <c r="D12" s="1">
        <v>100</v>
      </c>
      <c r="E12" s="1">
        <f>C12*D12/100</f>
        <v>8</v>
      </c>
      <c r="F12" s="2"/>
      <c r="G12" s="2" t="s">
        <v>4</v>
      </c>
    </row>
    <row r="13" spans="1:7" x14ac:dyDescent="0.25">
      <c r="A13" s="6" t="s">
        <v>18</v>
      </c>
      <c r="B13" s="1" t="s">
        <v>19</v>
      </c>
      <c r="C13" s="1">
        <v>6</v>
      </c>
      <c r="D13" s="1">
        <v>100</v>
      </c>
      <c r="E13" s="1">
        <f>C13*D13/100</f>
        <v>6</v>
      </c>
      <c r="F13" s="1"/>
      <c r="G13" s="1" t="s">
        <v>14</v>
      </c>
    </row>
    <row r="14" spans="1:7" x14ac:dyDescent="0.25">
      <c r="A14" s="6" t="s">
        <v>21</v>
      </c>
      <c r="B14" s="1" t="s">
        <v>22</v>
      </c>
      <c r="C14" s="1">
        <v>6</v>
      </c>
      <c r="D14" s="1">
        <v>100</v>
      </c>
      <c r="E14" s="1">
        <f>C14*D14/100</f>
        <v>6</v>
      </c>
      <c r="F14" s="1"/>
      <c r="G14" s="1" t="s">
        <v>17</v>
      </c>
    </row>
    <row r="15" spans="1:7" x14ac:dyDescent="0.25">
      <c r="A15" s="1"/>
      <c r="B15" s="1" t="s">
        <v>11</v>
      </c>
      <c r="C15" s="1">
        <v>30</v>
      </c>
      <c r="D15" s="1">
        <f>((C11*D11)+(C12*D12)+(C13*D13)+(C14*D14))/C15</f>
        <v>100</v>
      </c>
      <c r="E15" s="1">
        <f>C15*D15/100</f>
        <v>30</v>
      </c>
      <c r="F15" s="1"/>
      <c r="G15" s="1" t="s">
        <v>20</v>
      </c>
    </row>
    <row r="16" spans="1:7" x14ac:dyDescent="0.25">
      <c r="A16" s="2" t="s">
        <v>56</v>
      </c>
      <c r="B16" s="1" t="s">
        <v>55</v>
      </c>
      <c r="C16" s="1"/>
      <c r="D16" s="1"/>
      <c r="E16" s="1"/>
      <c r="F16" s="1"/>
      <c r="G16" s="1"/>
    </row>
    <row r="17" spans="1:7" x14ac:dyDescent="0.25">
      <c r="A17" s="6" t="s">
        <v>23</v>
      </c>
      <c r="B17" s="1" t="s">
        <v>24</v>
      </c>
      <c r="C17" s="1">
        <v>8</v>
      </c>
      <c r="D17" s="1">
        <v>100</v>
      </c>
      <c r="E17" s="1">
        <f>C17*D17/100</f>
        <v>8</v>
      </c>
      <c r="F17" s="1"/>
      <c r="G17" s="1"/>
    </row>
    <row r="18" spans="1:7" x14ac:dyDescent="0.25">
      <c r="A18" s="6" t="s">
        <v>25</v>
      </c>
      <c r="B18" s="1" t="s">
        <v>26</v>
      </c>
      <c r="C18" s="1">
        <v>10</v>
      </c>
      <c r="D18" s="1">
        <v>100</v>
      </c>
      <c r="E18" s="1">
        <f>C18*D18/100</f>
        <v>10</v>
      </c>
      <c r="F18" s="1"/>
      <c r="G18" s="1"/>
    </row>
    <row r="19" spans="1:7" x14ac:dyDescent="0.25">
      <c r="A19" s="6" t="s">
        <v>27</v>
      </c>
      <c r="B19" s="1" t="s">
        <v>28</v>
      </c>
      <c r="C19" s="1">
        <v>7</v>
      </c>
      <c r="D19" s="1">
        <v>100</v>
      </c>
      <c r="E19" s="1">
        <f>C19*D19/100</f>
        <v>7</v>
      </c>
      <c r="F19" s="1"/>
      <c r="G19" s="1"/>
    </row>
    <row r="20" spans="1:7" x14ac:dyDescent="0.25">
      <c r="A20" s="6" t="s">
        <v>29</v>
      </c>
      <c r="B20" s="1" t="s">
        <v>30</v>
      </c>
      <c r="C20" s="1">
        <v>5</v>
      </c>
      <c r="D20" s="1">
        <v>100</v>
      </c>
      <c r="E20" s="1">
        <f>C20*D20/100</f>
        <v>5</v>
      </c>
      <c r="F20" s="1"/>
      <c r="G20" s="1"/>
    </row>
    <row r="21" spans="1:7" x14ac:dyDescent="0.25">
      <c r="A21" s="1"/>
      <c r="B21" s="1" t="s">
        <v>11</v>
      </c>
      <c r="C21" s="1">
        <v>30</v>
      </c>
      <c r="D21" s="1">
        <f>((C17*D17)+(C18*D18)+(C19*D19)+(C20*D20))/C21</f>
        <v>100</v>
      </c>
      <c r="E21" s="1">
        <f>C21*D21/100</f>
        <v>30</v>
      </c>
      <c r="F21" s="1"/>
      <c r="G21" s="1"/>
    </row>
    <row r="22" spans="1:7" x14ac:dyDescent="0.25">
      <c r="A22" s="2" t="s">
        <v>58</v>
      </c>
      <c r="B22" s="1" t="s">
        <v>57</v>
      </c>
      <c r="C22" s="1"/>
      <c r="D22" s="1"/>
      <c r="E22" s="1"/>
      <c r="F22" s="1"/>
      <c r="G22" s="1"/>
    </row>
    <row r="23" spans="1:7" x14ac:dyDescent="0.25">
      <c r="A23" s="1" t="s">
        <v>31</v>
      </c>
      <c r="B23" s="1" t="s">
        <v>32</v>
      </c>
      <c r="C23" s="1">
        <v>5</v>
      </c>
      <c r="D23" s="1">
        <v>100</v>
      </c>
      <c r="E23" s="1">
        <f>C23*D23/100</f>
        <v>5</v>
      </c>
      <c r="F23" s="2"/>
      <c r="G23" s="2" t="s">
        <v>4</v>
      </c>
    </row>
    <row r="24" spans="1:7" x14ac:dyDescent="0.25">
      <c r="A24" s="1" t="s">
        <v>34</v>
      </c>
      <c r="B24" s="1" t="s">
        <v>35</v>
      </c>
      <c r="C24" s="1">
        <v>5</v>
      </c>
      <c r="D24" s="1">
        <v>50</v>
      </c>
      <c r="E24" s="1">
        <f>C24*D24/100</f>
        <v>2.5</v>
      </c>
      <c r="F24" s="1"/>
      <c r="G24" s="1" t="s">
        <v>33</v>
      </c>
    </row>
    <row r="25" spans="1:7" x14ac:dyDescent="0.25">
      <c r="A25" s="1" t="s">
        <v>37</v>
      </c>
      <c r="B25" s="1" t="s">
        <v>38</v>
      </c>
      <c r="C25" s="1">
        <v>5</v>
      </c>
      <c r="D25" s="1">
        <v>50</v>
      </c>
      <c r="E25" s="1">
        <f>C25*D25/100</f>
        <v>2.5</v>
      </c>
      <c r="F25" s="1"/>
      <c r="G25" s="1" t="s">
        <v>36</v>
      </c>
    </row>
    <row r="26" spans="1:7" x14ac:dyDescent="0.25">
      <c r="A26" s="1" t="s">
        <v>40</v>
      </c>
      <c r="B26" s="1" t="s">
        <v>41</v>
      </c>
      <c r="C26" s="1">
        <v>5</v>
      </c>
      <c r="D26" s="1">
        <v>0</v>
      </c>
      <c r="E26" s="1">
        <f>C26*D26/100</f>
        <v>0</v>
      </c>
      <c r="F26" s="1"/>
      <c r="G26" s="1" t="s">
        <v>39</v>
      </c>
    </row>
    <row r="27" spans="1:7" x14ac:dyDescent="0.25">
      <c r="A27" s="1"/>
      <c r="B27" s="1" t="s">
        <v>11</v>
      </c>
      <c r="C27" s="1">
        <v>20</v>
      </c>
      <c r="D27" s="1">
        <f>((C23*D23)+(C24*D24)+(C25*D25)+(C26*D26))/C27</f>
        <v>50</v>
      </c>
      <c r="E27" s="1">
        <f>C27*D27/100</f>
        <v>10</v>
      </c>
      <c r="F27" s="1"/>
      <c r="G27" s="1" t="s">
        <v>42</v>
      </c>
    </row>
    <row r="28" spans="1:7" x14ac:dyDescent="0.25">
      <c r="A28" s="2" t="s">
        <v>59</v>
      </c>
      <c r="B28" s="2" t="s">
        <v>60</v>
      </c>
      <c r="C28" s="1"/>
      <c r="D28" s="1"/>
      <c r="E28" s="1"/>
      <c r="F28" s="1"/>
      <c r="G28" s="1"/>
    </row>
    <row r="29" spans="1:7" x14ac:dyDescent="0.25">
      <c r="A29" s="1" t="s">
        <v>43</v>
      </c>
      <c r="B29" s="1" t="s">
        <v>44</v>
      </c>
      <c r="C29" s="1">
        <v>5</v>
      </c>
      <c r="D29" s="1">
        <v>0</v>
      </c>
      <c r="E29" s="1">
        <f>C29*D29/100</f>
        <v>0</v>
      </c>
      <c r="F29" s="1"/>
      <c r="G29" s="1"/>
    </row>
    <row r="30" spans="1:7" x14ac:dyDescent="0.25">
      <c r="A30" s="1"/>
      <c r="B30" s="1" t="s">
        <v>11</v>
      </c>
      <c r="C30" s="1">
        <v>5</v>
      </c>
      <c r="D30" s="1">
        <f>(C29*D29)/5</f>
        <v>0</v>
      </c>
      <c r="E30" s="1">
        <f>C30*D30/100</f>
        <v>0</v>
      </c>
      <c r="F30" s="1"/>
      <c r="G30" s="1"/>
    </row>
    <row r="31" spans="1:7" x14ac:dyDescent="0.25">
      <c r="A31" s="2" t="s">
        <v>61</v>
      </c>
      <c r="B31" s="2" t="s">
        <v>45</v>
      </c>
      <c r="C31" s="1"/>
      <c r="D31" s="1"/>
      <c r="E31" s="1"/>
      <c r="F31" s="1"/>
      <c r="G31" s="1"/>
    </row>
    <row r="32" spans="1:7" x14ac:dyDescent="0.25">
      <c r="A32" s="1"/>
      <c r="B32" s="1" t="s">
        <v>46</v>
      </c>
      <c r="C32" s="1">
        <f>SUM(C30+C27+C21+C15+C8)</f>
        <v>100</v>
      </c>
      <c r="D32" s="1">
        <f>(D30*5+D27*20+D21*30+D15*30+D8*15)/100</f>
        <v>85</v>
      </c>
      <c r="E32" s="1">
        <f>SUM(E30+E27+E21+E15+E8)</f>
        <v>85</v>
      </c>
      <c r="F32" s="1"/>
      <c r="G32" s="1" t="s">
        <v>47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Thesis Progress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Muneeb Shehzad Butt</cp:lastModifiedBy>
  <dcterms:created xsi:type="dcterms:W3CDTF">2025-12-26T17:17:01Z</dcterms:created>
  <dcterms:modified xsi:type="dcterms:W3CDTF">2025-12-27T17:39:03Z</dcterms:modified>
</cp:coreProperties>
</file>